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ROI Model" sheetId="2" state="visible" r:id="rId4"/>
    <sheet name="Risk Matrix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<sst xmlns="http://schemas.openxmlformats.org/spreadsheetml/2006/main" count="124" uniqueCount="107">
  <si>
    <t xml:space="preserve">Maison Lumière · P2P — ROI Assumptions</t>
  </si>
  <si>
    <t xml:space="preserve">Assumption</t>
  </si>
  <si>
    <t xml:space="preserve">Value</t>
  </si>
  <si>
    <t xml:space="preserve">Unit</t>
  </si>
  <si>
    <t xml:space="preserve">Source / justification (labelled)</t>
  </si>
  <si>
    <t xml:space="preserve">Loaded finance rate</t>
  </si>
  <si>
    <t xml:space="preserve">€/h</t>
  </si>
  <si>
    <t xml:space="preserve">Mid-range EU finance-clerk loaded cost — VALIDATE with client</t>
  </si>
  <si>
    <t xml:space="preserve">Invoice volume (monthly)</t>
  </si>
  <si>
    <t xml:space="preserve">inv/mo</t>
  </si>
  <si>
    <t xml:space="preserve">Assumed full-property SME 5★ — LOW confidence, pilot validates</t>
  </si>
  <si>
    <t xml:space="preserve">Invoice volume (annual)</t>
  </si>
  <si>
    <t xml:space="preserve">inv/yr</t>
  </si>
  <si>
    <t xml:space="preserve">Computed</t>
  </si>
  <si>
    <t xml:space="preserve">Manual cost / invoice</t>
  </si>
  <si>
    <t xml:space="preserve">€</t>
  </si>
  <si>
    <t xml:space="preserve">HighRadius/Quadient/Nanonets 2025 (vendor → directional)</t>
  </si>
  <si>
    <t xml:space="preserve">Automated cost / invoice</t>
  </si>
  <si>
    <t xml:space="preserve">~70% reduction (directional)</t>
  </si>
  <si>
    <t xml:space="preserve">Touchless rate at maturity</t>
  </si>
  <si>
    <t xml:space="preserve">%</t>
  </si>
  <si>
    <t xml:space="preserve">Modelled pilot learning curve</t>
  </si>
  <si>
    <t xml:space="preserve">Productive hours / FTE / yr</t>
  </si>
  <si>
    <t xml:space="preserve">h</t>
  </si>
  <si>
    <t xml:space="preserve">Standard net-of-leave assumption</t>
  </si>
  <si>
    <t xml:space="preserve">Pilot cost (one-off)</t>
  </si>
  <si>
    <t xml:space="preserve">Project 5 cost model (10-week pilot)</t>
  </si>
  <si>
    <t xml:space="preserve">Rollout cost (Year 1)</t>
  </si>
  <si>
    <t xml:space="preserve">Project 5 cost model</t>
  </si>
  <si>
    <t xml:space="preserve">Ongoing run cost / yr</t>
  </si>
  <si>
    <t xml:space="preserve">LLM €2k + hosting €2k + support €5k + tuning €4k</t>
  </si>
  <si>
    <t xml:space="preserve">3-way match — labour saved</t>
  </si>
  <si>
    <t xml:space="preserve">€/yr</t>
  </si>
  <si>
    <t xml:space="preserve">Modelled (matching time eliminated)</t>
  </si>
  <si>
    <t xml:space="preserve">3-way match — cash recovered</t>
  </si>
  <si>
    <t xml:space="preserve">~0.6% of ~€1.8M spend (overbilling/variance)</t>
  </si>
  <si>
    <t xml:space="preserve">Inventory — waste/shrinkage cut</t>
  </si>
  <si>
    <t xml:space="preserve">Modelled</t>
  </si>
  <si>
    <t xml:space="preserve">Inventory — stock-entry labour</t>
  </si>
  <si>
    <t xml:space="preserve">Modelled (manual stock entry eliminated)</t>
  </si>
  <si>
    <t xml:space="preserve">Working-capital release (one-off)</t>
  </si>
  <si>
    <t xml:space="preserve">~10% of tied-up F&amp;B stock (cash, not P&amp;L)</t>
  </si>
  <si>
    <t xml:space="preserve">ROI Model — formula: ROI = Net Benefit ÷ Total Cost</t>
  </si>
  <si>
    <t xml:space="preserve">A · Annual benefit build-up (full tool)</t>
  </si>
  <si>
    <t xml:space="preserve">AP automation — processing time saved</t>
  </si>
  <si>
    <t xml:space="preserve">modelled ≈ annual volume × per-invoice saving (€12→€3.9); Project 5 model</t>
  </si>
  <si>
    <t xml:space="preserve">Gross recurring benefit</t>
  </si>
  <si>
    <t xml:space="preserve">Less: ongoing run cost</t>
  </si>
  <si>
    <t xml:space="preserve">Net recurring benefit</t>
  </si>
  <si>
    <t xml:space="preserve">One-off working-capital release</t>
  </si>
  <si>
    <t xml:space="preserve">B · Conservative case — AP automation ONLY (headline)</t>
  </si>
  <si>
    <t xml:space="preserve">AP gross saving / yr</t>
  </si>
  <si>
    <t xml:space="preserve">Year-1 cost (pilot + rollout + run)</t>
  </si>
  <si>
    <t xml:space="preserve">Year-1 net benefit</t>
  </si>
  <si>
    <t xml:space="preserve">Year-1 ROI</t>
  </si>
  <si>
    <t xml:space="preserve">3-year total cost</t>
  </si>
  <si>
    <t xml:space="preserve">3-year gross saving</t>
  </si>
  <si>
    <t xml:space="preserve">3-year net benefit</t>
  </si>
  <si>
    <t xml:space="preserve">3-year ROI</t>
  </si>
  <si>
    <t xml:space="preserve">Payback incl. pilot (months)</t>
  </si>
  <si>
    <t xml:space="preserve">Payback ongoing (months)</t>
  </si>
  <si>
    <t xml:space="preserve">C · Full-tool case (illustrative)</t>
  </si>
  <si>
    <t xml:space="preserve">36-month total cost</t>
  </si>
  <si>
    <t xml:space="preserve">36-month net benefit</t>
  </si>
  <si>
    <t xml:space="preserve">36-month ROI</t>
  </si>
  <si>
    <t xml:space="preserve">FTE freed (labour pools only)</t>
  </si>
  <si>
    <t xml:space="preserve">Volume-driven: below ~250 invoices/mo the Year-1 return turns negative — the pilot gate confirms real volume first.</t>
  </si>
  <si>
    <t xml:space="preserve">Risk Matrix — Risk level = Likelihood × Impact</t>
  </si>
  <si>
    <t xml:space="preserve">#</t>
  </si>
  <si>
    <t xml:space="preserve">Category</t>
  </si>
  <si>
    <t xml:space="preserve">Risk</t>
  </si>
  <si>
    <t xml:space="preserve">Likelihood (1-5)</t>
  </si>
  <si>
    <t xml:space="preserve">Impact (1-5)</t>
  </si>
  <si>
    <t xml:space="preserve">Score</t>
  </si>
  <si>
    <t xml:space="preserve">Level</t>
  </si>
  <si>
    <t xml:space="preserve">Mitigation</t>
  </si>
  <si>
    <t xml:space="preserve">R1</t>
  </si>
  <si>
    <t xml:space="preserve">Technical</t>
  </si>
  <si>
    <t xml:space="preserve">Auto-coding accuracy below target on the real invoice mix (scans, new vendors, hallucinated values)</t>
  </si>
  <si>
    <t xml:space="preserve">Human reviews every entry; confidence-threshold routing; pilot backtest before scaling</t>
  </si>
  <si>
    <t xml:space="preserve">R2</t>
  </si>
  <si>
    <t xml:space="preserve">Regulatory</t>
  </si>
  <si>
    <t xml:space="preserve">Data security — invoices carry vendor PII processed by third-party LLM / US services</t>
  </si>
  <si>
    <t xml:space="preserve">DPA per vendor; EU-region processing; data minimisation; no full ledger ingested</t>
  </si>
  <si>
    <t xml:space="preserve">R3</t>
  </si>
  <si>
    <t xml:space="preserve">Operational</t>
  </si>
  <si>
    <t xml:space="preserve">Invoice volume too low for the ROI to clear</t>
  </si>
  <si>
    <t xml:space="preserve">Confirm real volume up front; pilot gate holds/kills if thin</t>
  </si>
  <si>
    <t xml:space="preserve">R4</t>
  </si>
  <si>
    <t xml:space="preserve">Change resistance / finance-team distrust of 'AI doing the books'</t>
  </si>
  <si>
    <t xml:space="preserve">'Second set of eyes' framing; no headcount cuts; training; team keeps final say</t>
  </si>
  <si>
    <t xml:space="preserve">R5</t>
  </si>
  <si>
    <t xml:space="preserve">Ethical</t>
  </si>
  <si>
    <t xml:space="preserve">Automation bias / over-reliance — staff rubber-stamp AI without genuine review</t>
  </si>
  <si>
    <t xml:space="preserve">Source shown beside proposal; non-skippable review; spot-audits; staff stay accountable</t>
  </si>
  <si>
    <t xml:space="preserve">R6</t>
  </si>
  <si>
    <t xml:space="preserve">Misrepresentation in AI-drafted dispute e-mails (tone, wrong figures)</t>
  </si>
  <si>
    <t xml:space="preserve">Human reviews &amp; sends every e-mail; AI-assistance disclosure; figures from validated match</t>
  </si>
  <si>
    <t xml:space="preserve">R7</t>
  </si>
  <si>
    <t xml:space="preserve">Invoice quality / format drift degrading extraction</t>
  </si>
  <si>
    <t xml:space="preserve">Exception routing + manual fallback; rising e-invoice share reduces this over time</t>
  </si>
  <si>
    <t xml:space="preserve">R8</t>
  </si>
  <si>
    <t xml:space="preserve">EU AI Act / GDPR misstep (wrong classification, missing DPIA, undocumented transfer)</t>
  </si>
  <si>
    <t xml:space="preserve">Limited-risk classification + DPIA + technical file; EU-region processing; retention policy</t>
  </si>
  <si>
    <t xml:space="preserve">R9</t>
  </si>
  <si>
    <t xml:space="preserve">Tooling cost overrun / vendor pricing change / lock-in</t>
  </si>
  <si>
    <t xml:space="preserve">Usage caps; standard formats (EN 16931/Peppol); portable architecture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</si>
</sst>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€#,##0;&quot;(€&quot;#,##0\);\-"/>
    <numFmt numFmtId="166" formatCode="#,##0"/>
    <numFmt numFmtId="167" formatCode="0.0%"/>
    <numFmt numFmtId="168" formatCode="0.0"/>
    <numFmt numFmtId="169" formatCode="0.00"/>
    <numFmt numFmtId="170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8C1C2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0696B"/>
      <name val="Arial"/>
      <family val="0"/>
      <charset val="1"/>
    </font>
    <font>
      <b val="true"/>
      <sz val="11"/>
      <color rgb="FF8C1C2B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8C1C2B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rgb="FFF7F1E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FC9"/>
      </left>
      <right style="thin">
        <color rgb="FFD9CFC9"/>
      </right>
      <top style="thin">
        <color rgb="FFD9CFC9"/>
      </top>
      <bottom style="thin">
        <color rgb="FFD9CF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FC9"/>
      <rgbColor rgb="FF808080"/>
      <rgbColor rgb="FF9999FF"/>
      <rgbColor rgb="FF993366"/>
      <rgbColor rgb="FFF7F1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0696B"/>
      <rgbColor rgb="FF969696"/>
      <rgbColor rgb="FF003366"/>
      <rgbColor rgb="FF339966"/>
      <rgbColor rgb="FF003300"/>
      <rgbColor rgb="FF333300"/>
      <rgbColor rgb="FF8C1C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s">
        <v>5</v>
      </c>
      <c r="B4" s="4" t="n">
        <v>45</v>
      </c>
      <c r="C4" s="5" t="s">
        <v>6</v>
      </c>
      <c r="D4" s="6" t="s">
        <v>7</v>
      </c>
    </row>
    <row r="5" customFormat="false" ht="15" hidden="false" customHeight="false" outlineLevel="0" collapsed="false">
      <c r="A5" s="3" t="s">
        <v>8</v>
      </c>
      <c r="B5" s="7" t="n">
        <v>420</v>
      </c>
      <c r="C5" s="5" t="s">
        <v>9</v>
      </c>
      <c r="D5" s="6" t="s">
        <v>10</v>
      </c>
    </row>
    <row r="6" customFormat="false" ht="15" hidden="false" customHeight="false" outlineLevel="0" collapsed="false">
      <c r="A6" s="3" t="s">
        <v>11</v>
      </c>
      <c r="B6" s="8" t="n">
        <f aca="false">B5*12</f>
        <v>5040</v>
      </c>
      <c r="C6" s="5" t="s">
        <v>12</v>
      </c>
      <c r="D6" s="6" t="s">
        <v>13</v>
      </c>
    </row>
    <row r="7" customFormat="false" ht="15" hidden="false" customHeight="false" outlineLevel="0" collapsed="false">
      <c r="A7" s="3" t="s">
        <v>14</v>
      </c>
      <c r="B7" s="4" t="n">
        <v>12</v>
      </c>
      <c r="C7" s="5" t="s">
        <v>15</v>
      </c>
      <c r="D7" s="6" t="s">
        <v>16</v>
      </c>
    </row>
    <row r="8" customFormat="false" ht="15" hidden="false" customHeight="false" outlineLevel="0" collapsed="false">
      <c r="A8" s="3" t="s">
        <v>17</v>
      </c>
      <c r="B8" s="4" t="n">
        <v>3.9</v>
      </c>
      <c r="C8" s="5" t="s">
        <v>15</v>
      </c>
      <c r="D8" s="6" t="s">
        <v>18</v>
      </c>
    </row>
    <row r="9" customFormat="false" ht="15" hidden="false" customHeight="false" outlineLevel="0" collapsed="false">
      <c r="A9" s="3" t="s">
        <v>19</v>
      </c>
      <c r="B9" s="9" t="n">
        <v>0.78</v>
      </c>
      <c r="C9" s="5" t="s">
        <v>20</v>
      </c>
      <c r="D9" s="6" t="s">
        <v>21</v>
      </c>
    </row>
    <row r="10" customFormat="false" ht="15" hidden="false" customHeight="false" outlineLevel="0" collapsed="false">
      <c r="A10" s="3" t="s">
        <v>22</v>
      </c>
      <c r="B10" s="10" t="n">
        <v>1600</v>
      </c>
      <c r="C10" s="5" t="s">
        <v>23</v>
      </c>
      <c r="D10" s="6" t="s">
        <v>24</v>
      </c>
    </row>
    <row r="11" customFormat="false" ht="15" hidden="false" customHeight="false" outlineLevel="0" collapsed="false">
      <c r="A11" s="3" t="s">
        <v>25</v>
      </c>
      <c r="B11" s="4" t="n">
        <v>20000</v>
      </c>
      <c r="C11" s="5" t="s">
        <v>15</v>
      </c>
      <c r="D11" s="6" t="s">
        <v>26</v>
      </c>
    </row>
    <row r="12" customFormat="false" ht="15" hidden="false" customHeight="false" outlineLevel="0" collapsed="false">
      <c r="A12" s="3" t="s">
        <v>27</v>
      </c>
      <c r="B12" s="4" t="n">
        <v>8000</v>
      </c>
      <c r="C12" s="5" t="s">
        <v>15</v>
      </c>
      <c r="D12" s="6" t="s">
        <v>28</v>
      </c>
    </row>
    <row r="13" customFormat="false" ht="15" hidden="false" customHeight="false" outlineLevel="0" collapsed="false">
      <c r="A13" s="3" t="s">
        <v>29</v>
      </c>
      <c r="B13" s="4" t="n">
        <v>13000</v>
      </c>
      <c r="C13" s="5" t="s">
        <v>15</v>
      </c>
      <c r="D13" s="6" t="s">
        <v>30</v>
      </c>
    </row>
    <row r="14" customFormat="false" ht="15" hidden="false" customHeight="false" outlineLevel="0" collapsed="false">
      <c r="A14" s="3" t="s">
        <v>31</v>
      </c>
      <c r="B14" s="4" t="n">
        <v>26000</v>
      </c>
      <c r="C14" s="5" t="s">
        <v>32</v>
      </c>
      <c r="D14" s="6" t="s">
        <v>33</v>
      </c>
    </row>
    <row r="15" customFormat="false" ht="15" hidden="false" customHeight="false" outlineLevel="0" collapsed="false">
      <c r="A15" s="3" t="s">
        <v>34</v>
      </c>
      <c r="B15" s="4" t="n">
        <v>10000</v>
      </c>
      <c r="C15" s="5" t="s">
        <v>32</v>
      </c>
      <c r="D15" s="6" t="s">
        <v>35</v>
      </c>
    </row>
    <row r="16" customFormat="false" ht="15" hidden="false" customHeight="false" outlineLevel="0" collapsed="false">
      <c r="A16" s="3" t="s">
        <v>36</v>
      </c>
      <c r="B16" s="4" t="n">
        <v>9000</v>
      </c>
      <c r="C16" s="5" t="s">
        <v>32</v>
      </c>
      <c r="D16" s="6" t="s">
        <v>37</v>
      </c>
    </row>
    <row r="17" customFormat="false" ht="15" hidden="false" customHeight="false" outlineLevel="0" collapsed="false">
      <c r="A17" s="3" t="s">
        <v>38</v>
      </c>
      <c r="B17" s="4" t="n">
        <v>19500</v>
      </c>
      <c r="C17" s="5" t="s">
        <v>32</v>
      </c>
      <c r="D17" s="6" t="s">
        <v>39</v>
      </c>
    </row>
    <row r="18" customFormat="false" ht="15" hidden="false" customHeight="false" outlineLevel="0" collapsed="false">
      <c r="A18" s="3" t="s">
        <v>40</v>
      </c>
      <c r="B18" s="4" t="n">
        <v>15000</v>
      </c>
      <c r="C18" s="5" t="s">
        <v>15</v>
      </c>
      <c r="D18" s="6" t="s">
        <v>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5"/>
    <col collapsed="false" customWidth="true" hidden="false" outlineLevel="0" max="3" min="3" style="0" width="3"/>
  </cols>
  <sheetData>
    <row r="1" customFormat="false" ht="17.35" hidden="false" customHeight="false" outlineLevel="0" collapsed="false">
      <c r="A1" s="1" t="s">
        <v>42</v>
      </c>
      <c r="B1" s="1"/>
      <c r="C1" s="1"/>
    </row>
    <row r="3" customFormat="false" ht="15" hidden="false" customHeight="false" outlineLevel="0" collapsed="false">
      <c r="A3" s="11" t="s">
        <v>43</v>
      </c>
      <c r="B3" s="12"/>
      <c r="C3" s="12"/>
    </row>
    <row r="4" customFormat="false" ht="15" hidden="false" customHeight="false" outlineLevel="0" collapsed="false">
      <c r="A4" s="13" t="s">
        <v>44</v>
      </c>
      <c r="B4" s="4" t="n">
        <v>42000</v>
      </c>
      <c r="C4" s="14" t="s">
        <v>45</v>
      </c>
    </row>
    <row r="5" customFormat="false" ht="15" hidden="false" customHeight="false" outlineLevel="0" collapsed="false">
      <c r="A5" s="13" t="s">
        <v>31</v>
      </c>
      <c r="B5" s="15" t="n">
        <f aca="false">Assumptions!B14</f>
        <v>26000</v>
      </c>
    </row>
    <row r="6" customFormat="false" ht="15" hidden="false" customHeight="false" outlineLevel="0" collapsed="false">
      <c r="A6" s="13" t="s">
        <v>34</v>
      </c>
      <c r="B6" s="15" t="n">
        <f aca="false">Assumptions!B15</f>
        <v>10000</v>
      </c>
    </row>
    <row r="7" customFormat="false" ht="15" hidden="false" customHeight="false" outlineLevel="0" collapsed="false">
      <c r="A7" s="13" t="s">
        <v>36</v>
      </c>
      <c r="B7" s="15" t="n">
        <f aca="false">Assumptions!B16</f>
        <v>9000</v>
      </c>
    </row>
    <row r="8" customFormat="false" ht="15" hidden="false" customHeight="false" outlineLevel="0" collapsed="false">
      <c r="A8" s="13" t="s">
        <v>38</v>
      </c>
      <c r="B8" s="15" t="n">
        <f aca="false">Assumptions!B17</f>
        <v>19500</v>
      </c>
    </row>
    <row r="9" customFormat="false" ht="15" hidden="false" customHeight="false" outlineLevel="0" collapsed="false">
      <c r="A9" s="3" t="s">
        <v>46</v>
      </c>
      <c r="B9" s="16" t="n">
        <f aca="false">SUM(B4:B8)</f>
        <v>106500</v>
      </c>
    </row>
    <row r="10" customFormat="false" ht="15" hidden="false" customHeight="false" outlineLevel="0" collapsed="false">
      <c r="A10" s="13" t="s">
        <v>47</v>
      </c>
      <c r="B10" s="15" t="n">
        <f aca="false">-Assumptions!B13</f>
        <v>-13000</v>
      </c>
    </row>
    <row r="11" customFormat="false" ht="15" hidden="false" customHeight="false" outlineLevel="0" collapsed="false">
      <c r="A11" s="3" t="s">
        <v>48</v>
      </c>
      <c r="B11" s="16" t="n">
        <f aca="false">B9+B10</f>
        <v>93500</v>
      </c>
    </row>
    <row r="12" customFormat="false" ht="15" hidden="false" customHeight="false" outlineLevel="0" collapsed="false">
      <c r="A12" s="13" t="s">
        <v>49</v>
      </c>
      <c r="B12" s="15" t="n">
        <f aca="false">Assumptions!B18</f>
        <v>15000</v>
      </c>
    </row>
    <row r="14" customFormat="false" ht="15" hidden="false" customHeight="false" outlineLevel="0" collapsed="false">
      <c r="A14" s="11" t="s">
        <v>50</v>
      </c>
      <c r="B14" s="12"/>
      <c r="C14" s="12"/>
    </row>
    <row r="15" customFormat="false" ht="15" hidden="false" customHeight="false" outlineLevel="0" collapsed="false">
      <c r="A15" s="13" t="s">
        <v>51</v>
      </c>
      <c r="B15" s="15" t="n">
        <f aca="false">B4</f>
        <v>42000</v>
      </c>
    </row>
    <row r="16" customFormat="false" ht="15" hidden="false" customHeight="false" outlineLevel="0" collapsed="false">
      <c r="A16" s="13" t="s">
        <v>52</v>
      </c>
      <c r="B16" s="15" t="n">
        <f aca="false">Assumptions!B11+Assumptions!B12+Assumptions!B13</f>
        <v>41000</v>
      </c>
    </row>
    <row r="17" customFormat="false" ht="15" hidden="false" customHeight="false" outlineLevel="0" collapsed="false">
      <c r="A17" s="3" t="s">
        <v>53</v>
      </c>
      <c r="B17" s="16" t="n">
        <f aca="false">B15-B16</f>
        <v>1000</v>
      </c>
    </row>
    <row r="18" customFormat="false" ht="15" hidden="false" customHeight="false" outlineLevel="0" collapsed="false">
      <c r="A18" s="3" t="s">
        <v>54</v>
      </c>
      <c r="B18" s="17" t="n">
        <f aca="false">B17/B16</f>
        <v>0.024390243902439</v>
      </c>
    </row>
    <row r="19" customFormat="false" ht="15" hidden="false" customHeight="false" outlineLevel="0" collapsed="false">
      <c r="A19" s="13" t="s">
        <v>55</v>
      </c>
      <c r="B19" s="15" t="n">
        <f aca="false">Assumptions!B11+Assumptions!B12+3*Assumptions!B13</f>
        <v>67000</v>
      </c>
    </row>
    <row r="20" customFormat="false" ht="15" hidden="false" customHeight="false" outlineLevel="0" collapsed="false">
      <c r="A20" s="13" t="s">
        <v>56</v>
      </c>
      <c r="B20" s="15" t="n">
        <f aca="false">3*B15</f>
        <v>126000</v>
      </c>
    </row>
    <row r="21" customFormat="false" ht="15" hidden="false" customHeight="false" outlineLevel="0" collapsed="false">
      <c r="A21" s="3" t="s">
        <v>57</v>
      </c>
      <c r="B21" s="16" t="n">
        <f aca="false">B20-B19</f>
        <v>59000</v>
      </c>
    </row>
    <row r="22" customFormat="false" ht="15" hidden="false" customHeight="false" outlineLevel="0" collapsed="false">
      <c r="A22" s="3" t="s">
        <v>58</v>
      </c>
      <c r="B22" s="17" t="n">
        <f aca="false">B21/B19</f>
        <v>0.880597014925373</v>
      </c>
    </row>
    <row r="23" customFormat="false" ht="15" hidden="false" customHeight="false" outlineLevel="0" collapsed="false">
      <c r="A23" s="13" t="s">
        <v>59</v>
      </c>
      <c r="B23" s="18" t="n">
        <f aca="false">B16/(B15/12)</f>
        <v>11.7142857142857</v>
      </c>
    </row>
    <row r="24" customFormat="false" ht="15" hidden="false" customHeight="false" outlineLevel="0" collapsed="false">
      <c r="A24" s="13" t="s">
        <v>60</v>
      </c>
      <c r="B24" s="18" t="n">
        <f aca="false">Assumptions!B13/(B15/12)</f>
        <v>3.71428571428571</v>
      </c>
    </row>
    <row r="26" customFormat="false" ht="15" hidden="false" customHeight="false" outlineLevel="0" collapsed="false">
      <c r="A26" s="11" t="s">
        <v>61</v>
      </c>
      <c r="B26" s="12"/>
      <c r="C26" s="12"/>
    </row>
    <row r="27" customFormat="false" ht="15" hidden="false" customHeight="false" outlineLevel="0" collapsed="false">
      <c r="A27" s="13" t="s">
        <v>62</v>
      </c>
      <c r="B27" s="15" t="n">
        <f aca="false">B19</f>
        <v>67000</v>
      </c>
    </row>
    <row r="28" customFormat="false" ht="15" hidden="false" customHeight="false" outlineLevel="0" collapsed="false">
      <c r="A28" s="3" t="s">
        <v>63</v>
      </c>
      <c r="B28" s="16" t="n">
        <f aca="false">3*B11-(Assumptions!B11+Assumptions!B12)</f>
        <v>252500</v>
      </c>
    </row>
    <row r="29" customFormat="false" ht="15" hidden="false" customHeight="false" outlineLevel="0" collapsed="false">
      <c r="A29" s="3" t="s">
        <v>64</v>
      </c>
      <c r="B29" s="17" t="n">
        <f aca="false">B28/B27</f>
        <v>3.76865671641791</v>
      </c>
    </row>
    <row r="30" customFormat="false" ht="15" hidden="false" customHeight="false" outlineLevel="0" collapsed="false">
      <c r="A30" s="13" t="s">
        <v>65</v>
      </c>
      <c r="B30" s="19" t="n">
        <f aca="false">(B4+Assumptions!B14+Assumptions!B17)/Assumptions!B4/Assumptions!B10</f>
        <v>1.21527777777778</v>
      </c>
    </row>
    <row r="32" customFormat="false" ht="15" hidden="false" customHeight="false" outlineLevel="0" collapsed="false">
      <c r="A32" s="20" t="s">
        <v>66</v>
      </c>
      <c r="B32" s="20"/>
      <c r="C32" s="20"/>
    </row>
  </sheetData>
  <mergeCells count="2">
    <mergeCell ref="A1:C1"/>
    <mergeCell ref="A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52"/>
  </cols>
  <sheetData>
    <row r="1" customFormat="false" ht="17.35" hidden="false" customHeight="false" outlineLevel="0" collapsed="false">
      <c r="A1" s="1" t="s">
        <v>67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21" t="s">
        <v>68</v>
      </c>
      <c r="B3" s="21" t="s">
        <v>69</v>
      </c>
      <c r="C3" s="21" t="s">
        <v>70</v>
      </c>
      <c r="D3" s="21" t="s">
        <v>71</v>
      </c>
      <c r="E3" s="21" t="s">
        <v>72</v>
      </c>
      <c r="F3" s="21" t="s">
        <v>73</v>
      </c>
      <c r="G3" s="21" t="s">
        <v>74</v>
      </c>
      <c r="H3" s="2" t="s">
        <v>75</v>
      </c>
    </row>
    <row r="4" customFormat="false" ht="42" hidden="false" customHeight="true" outlineLevel="0" collapsed="false">
      <c r="A4" s="3" t="s">
        <v>76</v>
      </c>
      <c r="B4" s="5" t="s">
        <v>77</v>
      </c>
      <c r="C4" s="22" t="s">
        <v>78</v>
      </c>
      <c r="D4" s="23" t="n">
        <v>3</v>
      </c>
      <c r="E4" s="23" t="n">
        <v>4</v>
      </c>
      <c r="F4" s="24" t="n">
        <f aca="false">D4*E4</f>
        <v>12</v>
      </c>
      <c r="G4" s="25" t="str">
        <f aca="false">IF(F4&gt;=12,"High",IF(F4&gt;=6,"Medium","Low"))</f>
        <v>High</v>
      </c>
      <c r="H4" s="26" t="s">
        <v>79</v>
      </c>
    </row>
    <row r="5" customFormat="false" ht="42" hidden="false" customHeight="true" outlineLevel="0" collapsed="false">
      <c r="A5" s="3" t="s">
        <v>80</v>
      </c>
      <c r="B5" s="5" t="s">
        <v>81</v>
      </c>
      <c r="C5" s="22" t="s">
        <v>82</v>
      </c>
      <c r="D5" s="23" t="n">
        <v>3</v>
      </c>
      <c r="E5" s="23" t="n">
        <v>4</v>
      </c>
      <c r="F5" s="24" t="n">
        <f aca="false">D5*E5</f>
        <v>12</v>
      </c>
      <c r="G5" s="25" t="str">
        <f aca="false">IF(F5&gt;=12,"High",IF(F5&gt;=6,"Medium","Low"))</f>
        <v>High</v>
      </c>
      <c r="H5" s="26" t="s">
        <v>83</v>
      </c>
    </row>
    <row r="6" customFormat="false" ht="42" hidden="false" customHeight="true" outlineLevel="0" collapsed="false">
      <c r="A6" s="3" t="s">
        <v>84</v>
      </c>
      <c r="B6" s="5" t="s">
        <v>85</v>
      </c>
      <c r="C6" s="22" t="s">
        <v>86</v>
      </c>
      <c r="D6" s="23" t="n">
        <v>2</v>
      </c>
      <c r="E6" s="23" t="n">
        <v>4</v>
      </c>
      <c r="F6" s="24" t="n">
        <f aca="false">D6*E6</f>
        <v>8</v>
      </c>
      <c r="G6" s="25" t="str">
        <f aca="false">IF(F6&gt;=12,"High",IF(F6&gt;=6,"Medium","Low"))</f>
        <v>Medium</v>
      </c>
      <c r="H6" s="26" t="s">
        <v>87</v>
      </c>
    </row>
    <row r="7" customFormat="false" ht="42" hidden="false" customHeight="true" outlineLevel="0" collapsed="false">
      <c r="A7" s="3" t="s">
        <v>88</v>
      </c>
      <c r="B7" s="5" t="s">
        <v>85</v>
      </c>
      <c r="C7" s="22" t="s">
        <v>89</v>
      </c>
      <c r="D7" s="23" t="n">
        <v>3</v>
      </c>
      <c r="E7" s="23" t="n">
        <v>3</v>
      </c>
      <c r="F7" s="24" t="n">
        <f aca="false">D7*E7</f>
        <v>9</v>
      </c>
      <c r="G7" s="25" t="str">
        <f aca="false">IF(F7&gt;=12,"High",IF(F7&gt;=6,"Medium","Low"))</f>
        <v>Medium</v>
      </c>
      <c r="H7" s="26" t="s">
        <v>90</v>
      </c>
    </row>
    <row r="8" customFormat="false" ht="42" hidden="false" customHeight="true" outlineLevel="0" collapsed="false">
      <c r="A8" s="3" t="s">
        <v>91</v>
      </c>
      <c r="B8" s="5" t="s">
        <v>92</v>
      </c>
      <c r="C8" s="22" t="s">
        <v>93</v>
      </c>
      <c r="D8" s="23" t="n">
        <v>3</v>
      </c>
      <c r="E8" s="23" t="n">
        <v>4</v>
      </c>
      <c r="F8" s="24" t="n">
        <f aca="false">D8*E8</f>
        <v>12</v>
      </c>
      <c r="G8" s="25" t="str">
        <f aca="false">IF(F8&gt;=12,"High",IF(F8&gt;=6,"Medium","Low"))</f>
        <v>High</v>
      </c>
      <c r="H8" s="26" t="s">
        <v>94</v>
      </c>
    </row>
    <row r="9" customFormat="false" ht="42" hidden="false" customHeight="true" outlineLevel="0" collapsed="false">
      <c r="A9" s="3" t="s">
        <v>95</v>
      </c>
      <c r="B9" s="5" t="s">
        <v>92</v>
      </c>
      <c r="C9" s="22" t="s">
        <v>96</v>
      </c>
      <c r="D9" s="23" t="n">
        <v>2</v>
      </c>
      <c r="E9" s="23" t="n">
        <v>3</v>
      </c>
      <c r="F9" s="24" t="n">
        <f aca="false">D9*E9</f>
        <v>6</v>
      </c>
      <c r="G9" s="25" t="str">
        <f aca="false">IF(F9&gt;=12,"High",IF(F9&gt;=6,"Medium","Low"))</f>
        <v>Medium</v>
      </c>
      <c r="H9" s="26" t="s">
        <v>97</v>
      </c>
    </row>
    <row r="10" customFormat="false" ht="42" hidden="false" customHeight="true" outlineLevel="0" collapsed="false">
      <c r="A10" s="3" t="s">
        <v>98</v>
      </c>
      <c r="B10" s="5" t="s">
        <v>77</v>
      </c>
      <c r="C10" s="22" t="s">
        <v>99</v>
      </c>
      <c r="D10" s="23" t="n">
        <v>3</v>
      </c>
      <c r="E10" s="23" t="n">
        <v>2</v>
      </c>
      <c r="F10" s="24" t="n">
        <f aca="false">D10*E10</f>
        <v>6</v>
      </c>
      <c r="G10" s="25" t="str">
        <f aca="false">IF(F10&gt;=12,"High",IF(F10&gt;=6,"Medium","Low"))</f>
        <v>Medium</v>
      </c>
      <c r="H10" s="26" t="s">
        <v>100</v>
      </c>
    </row>
    <row r="11" customFormat="false" ht="42" hidden="false" customHeight="true" outlineLevel="0" collapsed="false">
      <c r="A11" s="3" t="s">
        <v>101</v>
      </c>
      <c r="B11" s="5" t="s">
        <v>81</v>
      </c>
      <c r="C11" s="22" t="s">
        <v>102</v>
      </c>
      <c r="D11" s="23" t="n">
        <v>2</v>
      </c>
      <c r="E11" s="23" t="n">
        <v>4</v>
      </c>
      <c r="F11" s="24" t="n">
        <f aca="false">D11*E11</f>
        <v>8</v>
      </c>
      <c r="G11" s="25" t="str">
        <f aca="false">IF(F11&gt;=12,"High",IF(F11&gt;=6,"Medium","Low"))</f>
        <v>Medium</v>
      </c>
      <c r="H11" s="26" t="s">
        <v>103</v>
      </c>
    </row>
    <row r="12" customFormat="false" ht="42" hidden="false" customHeight="true" outlineLevel="0" collapsed="false">
      <c r="A12" s="3" t="s">
        <v>104</v>
      </c>
      <c r="B12" s="5" t="s">
        <v>85</v>
      </c>
      <c r="C12" s="22" t="s">
        <v>105</v>
      </c>
      <c r="D12" s="23" t="n">
        <v>2</v>
      </c>
      <c r="E12" s="23" t="n">
        <v>3</v>
      </c>
      <c r="F12" s="24" t="n">
        <f aca="false">D12*E12</f>
        <v>6</v>
      </c>
      <c r="G12" s="25" t="str">
        <f aca="false">IF(F12&gt;=12,"High",IF(F12&gt;=6,"Medium","Low"))</f>
        <v>Medium</v>
      </c>
      <c r="H12" s="26" t="s">
        <v>106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2026-06-19T07:59:02Z</dcterms:created>
  <dc:creator>openpyxl</dc:creator>
  <dc:description/>
  <dc:language>en-US</dc:language>
  <cp:lastModifiedBy/>
  <dcterms:modified xsi:type="dcterms:W3CDTF">2026-06-19T07:59:02Z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