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4b98bed9eb27721/Bureau/AI Bootcamp/Labs/Final-project/"/>
    </mc:Choice>
  </mc:AlternateContent>
  <xr:revisionPtr revIDLastSave="1" documentId="11_1D3226D2BD0B59F1F12347F2487E1389BED50F6D" xr6:coauthVersionLast="47" xr6:coauthVersionMax="47" xr10:uidLastSave="{317B1FC1-25B1-483B-9291-0EC534F0F8DE}"/>
  <bookViews>
    <workbookView xWindow="-110" yWindow="-110" windowWidth="19420" windowHeight="10300" tabRatio="500" activeTab="2" xr2:uid="{00000000-000D-0000-FFFF-FFFF00000000}"/>
  </bookViews>
  <sheets>
    <sheet name="Assumptions" sheetId="1" r:id="rId1"/>
    <sheet name="ROI Model" sheetId="2" r:id="rId2"/>
    <sheet name="Risk Matrix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3" l="1"/>
  <c r="F12" i="3"/>
  <c r="G11" i="3"/>
  <c r="F11" i="3"/>
  <c r="G10" i="3"/>
  <c r="F10" i="3"/>
  <c r="F9" i="3"/>
  <c r="G9" i="3" s="1"/>
  <c r="G8" i="3"/>
  <c r="F8" i="3"/>
  <c r="G7" i="3"/>
  <c r="F7" i="3"/>
  <c r="G6" i="3"/>
  <c r="F6" i="3"/>
  <c r="G5" i="3"/>
  <c r="F5" i="3"/>
  <c r="G4" i="3"/>
  <c r="F4" i="3"/>
  <c r="B30" i="2"/>
  <c r="B19" i="2"/>
  <c r="B27" i="2" s="1"/>
  <c r="B16" i="2"/>
  <c r="B23" i="2" s="1"/>
  <c r="B15" i="2"/>
  <c r="B20" i="2" s="1"/>
  <c r="B21" i="2" s="1"/>
  <c r="B22" i="2" s="1"/>
  <c r="B12" i="2"/>
  <c r="B10" i="2"/>
  <c r="B9" i="2"/>
  <c r="B11" i="2" s="1"/>
  <c r="B28" i="2" s="1"/>
  <c r="B29" i="2" s="1"/>
  <c r="B8" i="2"/>
  <c r="B7" i="2"/>
  <c r="B6" i="2"/>
  <c r="B5" i="2"/>
  <c r="B6" i="1"/>
  <c r="B24" i="2" l="1"/>
  <c r="B17" i="2"/>
  <c r="B18" i="2" s="1"/>
</calcChain>
</file>

<file path=xl/sharedStrings.xml><?xml version="1.0" encoding="utf-8"?>
<sst xmlns="http://schemas.openxmlformats.org/spreadsheetml/2006/main" count="124" uniqueCount="107">
  <si>
    <t>Maison Lumière · P2P — ROI Assumptions</t>
  </si>
  <si>
    <t>Assumption</t>
  </si>
  <si>
    <t>Value</t>
  </si>
  <si>
    <t>Unit</t>
  </si>
  <si>
    <t>Source / justification (labelled)</t>
  </si>
  <si>
    <t>Loaded finance rate</t>
  </si>
  <si>
    <t>€/h</t>
  </si>
  <si>
    <t>Mid-range EU finance-clerk loaded cost — VALIDATE with client</t>
  </si>
  <si>
    <t>Invoice volume (monthly)</t>
  </si>
  <si>
    <t>inv/mo</t>
  </si>
  <si>
    <t>Assumed full-property SME 5★ — LOW confidence, pilot validates</t>
  </si>
  <si>
    <t>Invoice volume (annual)</t>
  </si>
  <si>
    <t>inv/yr</t>
  </si>
  <si>
    <t>Computed</t>
  </si>
  <si>
    <t>Manual cost / invoice</t>
  </si>
  <si>
    <t>€</t>
  </si>
  <si>
    <t>HighRadius/Quadient/Nanonets 2025 (vendor → directional)</t>
  </si>
  <si>
    <t>Automated cost / invoice</t>
  </si>
  <si>
    <t>~70% reduction (directional)</t>
  </si>
  <si>
    <t>Touchless rate at maturity</t>
  </si>
  <si>
    <t>%</t>
  </si>
  <si>
    <t>Modelled pilot learning curve</t>
  </si>
  <si>
    <t>Productive hours / FTE / yr</t>
  </si>
  <si>
    <t>h</t>
  </si>
  <si>
    <t>Standard net-of-leave assumption</t>
  </si>
  <si>
    <t>Pilot cost (one-off)</t>
  </si>
  <si>
    <t>Project 5 cost model (10-week pilot)</t>
  </si>
  <si>
    <t>Rollout cost (Year 1)</t>
  </si>
  <si>
    <t>Project 5 cost model</t>
  </si>
  <si>
    <t>Ongoing run cost / yr</t>
  </si>
  <si>
    <t>LLM €2k + hosting €2k + support €5k + tuning €4k</t>
  </si>
  <si>
    <t>3-way match — labour saved</t>
  </si>
  <si>
    <t>€/yr</t>
  </si>
  <si>
    <t>Modelled (matching time eliminated)</t>
  </si>
  <si>
    <t>3-way match — cash recovered</t>
  </si>
  <si>
    <t>~0.6% of ~€1.8M spend (overbilling/variance)</t>
  </si>
  <si>
    <t>Inventory — waste/shrinkage cut</t>
  </si>
  <si>
    <t>Modelled</t>
  </si>
  <si>
    <t>Inventory — stock-entry labour</t>
  </si>
  <si>
    <t>Modelled (manual stock entry eliminated)</t>
  </si>
  <si>
    <t>Working-capital release (one-off)</t>
  </si>
  <si>
    <t>~10% of tied-up F&amp;B stock (cash, not P&amp;L)</t>
  </si>
  <si>
    <t>ROI Model — formula: ROI = Net Benefit ÷ Total Cost</t>
  </si>
  <si>
    <t>A · Annual benefit build-up (full tool)</t>
  </si>
  <si>
    <t>AP automation — processing time saved</t>
  </si>
  <si>
    <t>modelled ≈ annual volume × per-invoice saving (€12→€3.9); Project 5 model</t>
  </si>
  <si>
    <t>Gross recurring benefit</t>
  </si>
  <si>
    <t>Less: ongoing run cost</t>
  </si>
  <si>
    <t>Net recurring benefit</t>
  </si>
  <si>
    <t>One-off working-capital release</t>
  </si>
  <si>
    <t>B · Conservative case — AP automation ONLY (headline)</t>
  </si>
  <si>
    <t>AP gross saving / yr</t>
  </si>
  <si>
    <t>Year-1 cost (pilot + rollout + run)</t>
  </si>
  <si>
    <t>Year-1 net benefit</t>
  </si>
  <si>
    <t>Year-1 ROI</t>
  </si>
  <si>
    <t>3-year total cost</t>
  </si>
  <si>
    <t>3-year gross saving</t>
  </si>
  <si>
    <t>3-year net benefit</t>
  </si>
  <si>
    <t>3-year ROI</t>
  </si>
  <si>
    <t>Payback incl. pilot (months)</t>
  </si>
  <si>
    <t>Payback ongoing (months)</t>
  </si>
  <si>
    <t>C · Full-tool case (illustrative)</t>
  </si>
  <si>
    <t>36-month total cost</t>
  </si>
  <si>
    <t>36-month net benefit</t>
  </si>
  <si>
    <t>36-month ROI</t>
  </si>
  <si>
    <t>FTE freed (labour pools only)</t>
  </si>
  <si>
    <t>Volume-driven: below ~250 invoices/mo the Year-1 return turns negative — the pilot gate confirms real volume first.</t>
  </si>
  <si>
    <t>Risk Matrix — Risk level = Likelihood × Impact</t>
  </si>
  <si>
    <t>#</t>
  </si>
  <si>
    <t>Category</t>
  </si>
  <si>
    <t>Risk</t>
  </si>
  <si>
    <t>Likelihood (1-5)</t>
  </si>
  <si>
    <t>Impact (1-5)</t>
  </si>
  <si>
    <t>Score</t>
  </si>
  <si>
    <t>Level</t>
  </si>
  <si>
    <t>Mitigation</t>
  </si>
  <si>
    <t>R1</t>
  </si>
  <si>
    <t>Technical</t>
  </si>
  <si>
    <t>Auto-coding accuracy below target on the real invoice mix (scans, new vendors, hallucinated values)</t>
  </si>
  <si>
    <t>Human reviews every entry; confidence-threshold routing; pilot backtest before scaling</t>
  </si>
  <si>
    <t>R2</t>
  </si>
  <si>
    <t>Regulatory</t>
  </si>
  <si>
    <t>Data security — invoices carry vendor PII processed by third-party LLM / US services</t>
  </si>
  <si>
    <t>DPA per vendor; EU-region processing; data minimisation; no full ledger ingested</t>
  </si>
  <si>
    <t>R3</t>
  </si>
  <si>
    <t>Operational</t>
  </si>
  <si>
    <t>Invoice volume too low for the ROI to clear</t>
  </si>
  <si>
    <t>Confirm real volume up front; pilot gate holds/kills if thin</t>
  </si>
  <si>
    <t>R4</t>
  </si>
  <si>
    <t>Change resistance / finance-team distrust of 'AI doing the books'</t>
  </si>
  <si>
    <t>'Second set of eyes' framing; no headcount cuts; training; team keeps final say</t>
  </si>
  <si>
    <t>R5</t>
  </si>
  <si>
    <t>Ethical</t>
  </si>
  <si>
    <t>Automation bias / over-reliance — staff rubber-stamp AI without genuine review</t>
  </si>
  <si>
    <t>Source shown beside proposal; non-skippable review; spot-audits; staff stay accountable</t>
  </si>
  <si>
    <t>R6</t>
  </si>
  <si>
    <t>Misrepresentation in AI-drafted dispute e-mails (tone, wrong figures)</t>
  </si>
  <si>
    <t>Human reviews &amp; sends every e-mail; AI-assistance disclosure; figures from validated match</t>
  </si>
  <si>
    <t>R7</t>
  </si>
  <si>
    <t>Invoice quality / format drift degrading extraction</t>
  </si>
  <si>
    <t>Exception routing + manual fallback; rising e-invoice share reduces this over time</t>
  </si>
  <si>
    <t>R8</t>
  </si>
  <si>
    <t>EU AI Act / GDPR misstep (wrong classification, missing DPIA, undocumented transfer)</t>
  </si>
  <si>
    <t>Limited-risk classification + DPIA + technical file; EU-region processing; retention policy</t>
  </si>
  <si>
    <t>R9</t>
  </si>
  <si>
    <t>Tooling cost overrun / vendor pricing change / lock-in</t>
  </si>
  <si>
    <t>Usage caps; standard formats (EN 16931/Peppol); portable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</si>
</sst>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;&quot;(€&quot;#,##0\);\-"/>
    <numFmt numFmtId="165" formatCode="0.0%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8C1C2B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70696B"/>
      <name val="Arial"/>
      <charset val="1"/>
    </font>
    <font>
      <b/>
      <sz val="11"/>
      <color rgb="FF8C1C2B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8C1C2B"/>
        <bgColor rgb="FF800000"/>
      </patternFill>
    </fill>
    <fill>
      <patternFill patternType="solid">
        <fgColor rgb="FFF7F1EE"/>
        <bgColor rgb="FFFFFFFF"/>
      </patternFill>
    </fill>
  </fills>
  <borders count="2">
    <border>
      <left/>
      <right/>
      <top/>
      <bottom/>
      <diagonal/>
    </border>
    <border>
      <left style="thin">
        <color rgb="FFD9CFC9"/>
      </left>
      <right style="thin">
        <color rgb="FFD9CFC9"/>
      </right>
      <top style="thin">
        <color rgb="FFD9CFC9"/>
      </top>
      <bottom style="thin">
        <color rgb="FFD9CFC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7" fillId="3" borderId="0" xfId="0" applyFont="1" applyFill="1"/>
    <xf numFmtId="0" fontId="0" fillId="3" borderId="0" xfId="0" applyFill="1"/>
    <xf numFmtId="0" fontId="8" fillId="0" borderId="1" xfId="0" applyFont="1" applyBorder="1"/>
    <xf numFmtId="0" fontId="6" fillId="0" borderId="0" xfId="0" applyFont="1"/>
    <xf numFmtId="164" fontId="8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8" fillId="0" borderId="1" xfId="0" applyNumberFormat="1" applyFont="1" applyBorder="1"/>
    <xf numFmtId="2" fontId="8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vertical="top" wrapText="1"/>
    </xf>
    <xf numFmtId="3" fontId="4" fillId="0" borderId="1" xfId="0" applyNumberFormat="1" applyFont="1" applyFill="1" applyBorder="1"/>
    <xf numFmtId="3" fontId="5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9"/>
      <rgbColor rgb="FF808080"/>
      <rgbColor rgb="FF9999FF"/>
      <rgbColor rgb="FF993366"/>
      <rgbColor rgb="FFF7F1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0696B"/>
      <rgbColor rgb="FF969696"/>
      <rgbColor rgb="FF003366"/>
      <rgbColor rgb="FF339966"/>
      <rgbColor rgb="FF003300"/>
      <rgbColor rgb="FF333300"/>
      <rgbColor rgb="FF8C1C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selection activeCell="B5" sqref="B5:B6"/>
    </sheetView>
  </sheetViews>
  <sheetFormatPr defaultColWidth="8.6328125" defaultRowHeight="14.5" x14ac:dyDescent="0.35"/>
  <cols>
    <col min="1" max="1" width="30" customWidth="1"/>
    <col min="2" max="2" width="12" customWidth="1"/>
    <col min="3" max="3" width="9" customWidth="1"/>
    <col min="4" max="4" width="58" customWidth="1"/>
  </cols>
  <sheetData>
    <row r="1" spans="1:4" ht="18" x14ac:dyDescent="0.4">
      <c r="A1" s="2" t="s">
        <v>0</v>
      </c>
      <c r="B1" s="2"/>
      <c r="C1" s="2"/>
      <c r="D1" s="2"/>
    </row>
    <row r="3" spans="1:4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5">
      <c r="A4" s="4" t="s">
        <v>5</v>
      </c>
      <c r="B4" s="5">
        <v>45</v>
      </c>
      <c r="C4" s="6" t="s">
        <v>6</v>
      </c>
      <c r="D4" s="7" t="s">
        <v>7</v>
      </c>
    </row>
    <row r="5" spans="1:4" x14ac:dyDescent="0.35">
      <c r="A5" s="4" t="s">
        <v>8</v>
      </c>
      <c r="B5" s="25">
        <v>420</v>
      </c>
      <c r="C5" s="6" t="s">
        <v>9</v>
      </c>
      <c r="D5" s="7" t="s">
        <v>10</v>
      </c>
    </row>
    <row r="6" spans="1:4" x14ac:dyDescent="0.35">
      <c r="A6" s="4" t="s">
        <v>11</v>
      </c>
      <c r="B6" s="26">
        <f>B5*12</f>
        <v>5040</v>
      </c>
      <c r="C6" s="6" t="s">
        <v>12</v>
      </c>
      <c r="D6" s="7" t="s">
        <v>13</v>
      </c>
    </row>
    <row r="7" spans="1:4" x14ac:dyDescent="0.35">
      <c r="A7" s="4" t="s">
        <v>14</v>
      </c>
      <c r="B7" s="5">
        <v>12</v>
      </c>
      <c r="C7" s="6" t="s">
        <v>15</v>
      </c>
      <c r="D7" s="7" t="s">
        <v>16</v>
      </c>
    </row>
    <row r="8" spans="1:4" x14ac:dyDescent="0.35">
      <c r="A8" s="4" t="s">
        <v>17</v>
      </c>
      <c r="B8" s="5">
        <v>3.9</v>
      </c>
      <c r="C8" s="6" t="s">
        <v>15</v>
      </c>
      <c r="D8" s="7" t="s">
        <v>18</v>
      </c>
    </row>
    <row r="9" spans="1:4" x14ac:dyDescent="0.35">
      <c r="A9" s="4" t="s">
        <v>19</v>
      </c>
      <c r="B9" s="8">
        <v>0.78</v>
      </c>
      <c r="C9" s="6" t="s">
        <v>20</v>
      </c>
      <c r="D9" s="7" t="s">
        <v>21</v>
      </c>
    </row>
    <row r="10" spans="1:4" x14ac:dyDescent="0.35">
      <c r="A10" s="4" t="s">
        <v>22</v>
      </c>
      <c r="B10" s="9">
        <v>1600</v>
      </c>
      <c r="C10" s="6" t="s">
        <v>23</v>
      </c>
      <c r="D10" s="7" t="s">
        <v>24</v>
      </c>
    </row>
    <row r="11" spans="1:4" x14ac:dyDescent="0.35">
      <c r="A11" s="4" t="s">
        <v>25</v>
      </c>
      <c r="B11" s="5">
        <v>20000</v>
      </c>
      <c r="C11" s="6" t="s">
        <v>15</v>
      </c>
      <c r="D11" s="7" t="s">
        <v>26</v>
      </c>
    </row>
    <row r="12" spans="1:4" x14ac:dyDescent="0.35">
      <c r="A12" s="4" t="s">
        <v>27</v>
      </c>
      <c r="B12" s="5">
        <v>8000</v>
      </c>
      <c r="C12" s="6" t="s">
        <v>15</v>
      </c>
      <c r="D12" s="7" t="s">
        <v>28</v>
      </c>
    </row>
    <row r="13" spans="1:4" x14ac:dyDescent="0.35">
      <c r="A13" s="4" t="s">
        <v>29</v>
      </c>
      <c r="B13" s="5">
        <v>13000</v>
      </c>
      <c r="C13" s="6" t="s">
        <v>15</v>
      </c>
      <c r="D13" s="7" t="s">
        <v>30</v>
      </c>
    </row>
    <row r="14" spans="1:4" x14ac:dyDescent="0.35">
      <c r="A14" s="4" t="s">
        <v>31</v>
      </c>
      <c r="B14" s="5">
        <v>26000</v>
      </c>
      <c r="C14" s="6" t="s">
        <v>32</v>
      </c>
      <c r="D14" s="7" t="s">
        <v>33</v>
      </c>
    </row>
    <row r="15" spans="1:4" x14ac:dyDescent="0.35">
      <c r="A15" s="4" t="s">
        <v>34</v>
      </c>
      <c r="B15" s="5">
        <v>10000</v>
      </c>
      <c r="C15" s="6" t="s">
        <v>32</v>
      </c>
      <c r="D15" s="7" t="s">
        <v>35</v>
      </c>
    </row>
    <row r="16" spans="1:4" x14ac:dyDescent="0.35">
      <c r="A16" s="4" t="s">
        <v>36</v>
      </c>
      <c r="B16" s="5">
        <v>9000</v>
      </c>
      <c r="C16" s="6" t="s">
        <v>32</v>
      </c>
      <c r="D16" s="7" t="s">
        <v>37</v>
      </c>
    </row>
    <row r="17" spans="1:4" x14ac:dyDescent="0.35">
      <c r="A17" s="4" t="s">
        <v>38</v>
      </c>
      <c r="B17" s="5">
        <v>19500</v>
      </c>
      <c r="C17" s="6" t="s">
        <v>32</v>
      </c>
      <c r="D17" s="7" t="s">
        <v>39</v>
      </c>
    </row>
    <row r="18" spans="1:4" x14ac:dyDescent="0.35">
      <c r="A18" s="4" t="s">
        <v>40</v>
      </c>
      <c r="B18" s="5">
        <v>15000</v>
      </c>
      <c r="C18" s="6" t="s">
        <v>15</v>
      </c>
      <c r="D18" s="7" t="s">
        <v>41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17" zoomScaleNormal="100" workbookViewId="0">
      <selection sqref="A1:C1"/>
    </sheetView>
  </sheetViews>
  <sheetFormatPr defaultColWidth="8.6328125" defaultRowHeight="14.5" x14ac:dyDescent="0.35"/>
  <cols>
    <col min="1" max="1" width="40" customWidth="1"/>
    <col min="2" max="2" width="15" customWidth="1"/>
    <col min="3" max="3" width="3" customWidth="1"/>
  </cols>
  <sheetData>
    <row r="1" spans="1:3" ht="18" x14ac:dyDescent="0.4">
      <c r="A1" s="2" t="s">
        <v>42</v>
      </c>
      <c r="B1" s="2"/>
      <c r="C1" s="2"/>
    </row>
    <row r="3" spans="1:3" x14ac:dyDescent="0.35">
      <c r="A3" s="10" t="s">
        <v>43</v>
      </c>
      <c r="B3" s="11"/>
      <c r="C3" s="11"/>
    </row>
    <row r="4" spans="1:3" x14ac:dyDescent="0.35">
      <c r="A4" s="12" t="s">
        <v>44</v>
      </c>
      <c r="B4" s="5">
        <v>42000</v>
      </c>
      <c r="C4" s="13" t="s">
        <v>45</v>
      </c>
    </row>
    <row r="5" spans="1:3" x14ac:dyDescent="0.35">
      <c r="A5" s="12" t="s">
        <v>31</v>
      </c>
      <c r="B5" s="14">
        <f>Assumptions!B14</f>
        <v>26000</v>
      </c>
    </row>
    <row r="6" spans="1:3" x14ac:dyDescent="0.35">
      <c r="A6" s="12" t="s">
        <v>34</v>
      </c>
      <c r="B6" s="14">
        <f>Assumptions!B15</f>
        <v>10000</v>
      </c>
    </row>
    <row r="7" spans="1:3" x14ac:dyDescent="0.35">
      <c r="A7" s="12" t="s">
        <v>36</v>
      </c>
      <c r="B7" s="14">
        <f>Assumptions!B16</f>
        <v>9000</v>
      </c>
    </row>
    <row r="8" spans="1:3" x14ac:dyDescent="0.35">
      <c r="A8" s="12" t="s">
        <v>38</v>
      </c>
      <c r="B8" s="14">
        <f>Assumptions!B17</f>
        <v>19500</v>
      </c>
    </row>
    <row r="9" spans="1:3" x14ac:dyDescent="0.35">
      <c r="A9" s="4" t="s">
        <v>46</v>
      </c>
      <c r="B9" s="15">
        <f>SUM(B4:B8)</f>
        <v>106500</v>
      </c>
    </row>
    <row r="10" spans="1:3" x14ac:dyDescent="0.35">
      <c r="A10" s="12" t="s">
        <v>47</v>
      </c>
      <c r="B10" s="14">
        <f>-Assumptions!B13</f>
        <v>-13000</v>
      </c>
    </row>
    <row r="11" spans="1:3" x14ac:dyDescent="0.35">
      <c r="A11" s="4" t="s">
        <v>48</v>
      </c>
      <c r="B11" s="15">
        <f>B9+B10</f>
        <v>93500</v>
      </c>
    </row>
    <row r="12" spans="1:3" x14ac:dyDescent="0.35">
      <c r="A12" s="12" t="s">
        <v>49</v>
      </c>
      <c r="B12" s="14">
        <f>Assumptions!B18</f>
        <v>15000</v>
      </c>
    </row>
    <row r="14" spans="1:3" x14ac:dyDescent="0.35">
      <c r="A14" s="10" t="s">
        <v>50</v>
      </c>
      <c r="B14" s="11"/>
      <c r="C14" s="11"/>
    </row>
    <row r="15" spans="1:3" x14ac:dyDescent="0.35">
      <c r="A15" s="12" t="s">
        <v>51</v>
      </c>
      <c r="B15" s="14">
        <f>B4</f>
        <v>42000</v>
      </c>
    </row>
    <row r="16" spans="1:3" x14ac:dyDescent="0.35">
      <c r="A16" s="12" t="s">
        <v>52</v>
      </c>
      <c r="B16" s="14">
        <f>Assumptions!B11+Assumptions!B12+Assumptions!B13</f>
        <v>41000</v>
      </c>
    </row>
    <row r="17" spans="1:3" x14ac:dyDescent="0.35">
      <c r="A17" s="4" t="s">
        <v>53</v>
      </c>
      <c r="B17" s="15">
        <f>B15-B16</f>
        <v>1000</v>
      </c>
    </row>
    <row r="18" spans="1:3" x14ac:dyDescent="0.35">
      <c r="A18" s="4" t="s">
        <v>54</v>
      </c>
      <c r="B18" s="16">
        <f>B17/B16</f>
        <v>2.4390243902439025E-2</v>
      </c>
    </row>
    <row r="19" spans="1:3" x14ac:dyDescent="0.35">
      <c r="A19" s="12" t="s">
        <v>55</v>
      </c>
      <c r="B19" s="14">
        <f>Assumptions!B11+Assumptions!B12+3*Assumptions!B13</f>
        <v>67000</v>
      </c>
    </row>
    <row r="20" spans="1:3" x14ac:dyDescent="0.35">
      <c r="A20" s="12" t="s">
        <v>56</v>
      </c>
      <c r="B20" s="14">
        <f>3*B15</f>
        <v>126000</v>
      </c>
    </row>
    <row r="21" spans="1:3" x14ac:dyDescent="0.35">
      <c r="A21" s="4" t="s">
        <v>57</v>
      </c>
      <c r="B21" s="15">
        <f>B20-B19</f>
        <v>59000</v>
      </c>
    </row>
    <row r="22" spans="1:3" x14ac:dyDescent="0.35">
      <c r="A22" s="4" t="s">
        <v>58</v>
      </c>
      <c r="B22" s="16">
        <f>B21/B19</f>
        <v>0.88059701492537312</v>
      </c>
    </row>
    <row r="23" spans="1:3" x14ac:dyDescent="0.35">
      <c r="A23" s="12" t="s">
        <v>59</v>
      </c>
      <c r="B23" s="17">
        <f>B16/(B15/12)</f>
        <v>11.714285714285714</v>
      </c>
    </row>
    <row r="24" spans="1:3" x14ac:dyDescent="0.35">
      <c r="A24" s="12" t="s">
        <v>60</v>
      </c>
      <c r="B24" s="17">
        <f>Assumptions!B13/(B15/12)</f>
        <v>3.7142857142857144</v>
      </c>
    </row>
    <row r="26" spans="1:3" x14ac:dyDescent="0.35">
      <c r="A26" s="10" t="s">
        <v>61</v>
      </c>
      <c r="B26" s="11"/>
      <c r="C26" s="11"/>
    </row>
    <row r="27" spans="1:3" x14ac:dyDescent="0.35">
      <c r="A27" s="12" t="s">
        <v>62</v>
      </c>
      <c r="B27" s="14">
        <f>B19</f>
        <v>67000</v>
      </c>
    </row>
    <row r="28" spans="1:3" x14ac:dyDescent="0.35">
      <c r="A28" s="4" t="s">
        <v>63</v>
      </c>
      <c r="B28" s="15">
        <f>3*B11-(Assumptions!B11+Assumptions!B12)</f>
        <v>252500</v>
      </c>
    </row>
    <row r="29" spans="1:3" x14ac:dyDescent="0.35">
      <c r="A29" s="4" t="s">
        <v>64</v>
      </c>
      <c r="B29" s="16">
        <f>B28/B27</f>
        <v>3.7686567164179103</v>
      </c>
    </row>
    <row r="30" spans="1:3" x14ac:dyDescent="0.35">
      <c r="A30" s="12" t="s">
        <v>65</v>
      </c>
      <c r="B30" s="18">
        <f>(B4+Assumptions!B14+Assumptions!B17)/Assumptions!B4/Assumptions!B10</f>
        <v>1.2152777777777777</v>
      </c>
    </row>
    <row r="32" spans="1:3" x14ac:dyDescent="0.35">
      <c r="A32" s="1" t="s">
        <v>66</v>
      </c>
      <c r="B32" s="1"/>
      <c r="C32" s="1"/>
    </row>
  </sheetData>
  <mergeCells count="2">
    <mergeCell ref="A1:C1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zoomScaleNormal="100" workbookViewId="0">
      <selection sqref="A1:G1"/>
    </sheetView>
  </sheetViews>
  <sheetFormatPr defaultColWidth="8.6328125" defaultRowHeight="14.5" x14ac:dyDescent="0.35"/>
  <cols>
    <col min="1" max="1" width="5" customWidth="1"/>
    <col min="2" max="2" width="12" customWidth="1"/>
    <col min="3" max="3" width="44" customWidth="1"/>
    <col min="4" max="4" width="11" customWidth="1"/>
    <col min="5" max="5" width="9" customWidth="1"/>
    <col min="6" max="6" width="7" customWidth="1"/>
    <col min="7" max="7" width="9" customWidth="1"/>
    <col min="8" max="8" width="52" customWidth="1"/>
  </cols>
  <sheetData>
    <row r="1" spans="1:8" ht="18" x14ac:dyDescent="0.4">
      <c r="A1" s="2" t="s">
        <v>67</v>
      </c>
      <c r="B1" s="2"/>
      <c r="C1" s="2"/>
      <c r="D1" s="2"/>
      <c r="E1" s="2"/>
      <c r="F1" s="2"/>
      <c r="G1" s="2"/>
    </row>
    <row r="3" spans="1:8" ht="28" x14ac:dyDescent="0.35">
      <c r="A3" s="19" t="s">
        <v>68</v>
      </c>
      <c r="B3" s="19" t="s">
        <v>69</v>
      </c>
      <c r="C3" s="19" t="s">
        <v>70</v>
      </c>
      <c r="D3" s="19" t="s">
        <v>71</v>
      </c>
      <c r="E3" s="19" t="s">
        <v>72</v>
      </c>
      <c r="F3" s="19" t="s">
        <v>73</v>
      </c>
      <c r="G3" s="19" t="s">
        <v>74</v>
      </c>
      <c r="H3" s="3" t="s">
        <v>75</v>
      </c>
    </row>
    <row r="4" spans="1:8" ht="42" customHeight="1" x14ac:dyDescent="0.35">
      <c r="A4" s="4" t="s">
        <v>76</v>
      </c>
      <c r="B4" s="6" t="s">
        <v>77</v>
      </c>
      <c r="C4" s="20" t="s">
        <v>78</v>
      </c>
      <c r="D4" s="21">
        <v>3</v>
      </c>
      <c r="E4" s="21">
        <v>4</v>
      </c>
      <c r="F4" s="22">
        <f t="shared" ref="F4:F12" si="0">D4*E4</f>
        <v>12</v>
      </c>
      <c r="G4" s="23" t="str">
        <f t="shared" ref="G4:G12" si="1">IF(F4&gt;=12,"High",IF(F4&gt;=6,"Medium","Low"))</f>
        <v>High</v>
      </c>
      <c r="H4" s="24" t="s">
        <v>79</v>
      </c>
    </row>
    <row r="5" spans="1:8" ht="42" customHeight="1" x14ac:dyDescent="0.35">
      <c r="A5" s="4" t="s">
        <v>80</v>
      </c>
      <c r="B5" s="6" t="s">
        <v>81</v>
      </c>
      <c r="C5" s="20" t="s">
        <v>82</v>
      </c>
      <c r="D5" s="21">
        <v>3</v>
      </c>
      <c r="E5" s="21">
        <v>4</v>
      </c>
      <c r="F5" s="22">
        <f t="shared" si="0"/>
        <v>12</v>
      </c>
      <c r="G5" s="23" t="str">
        <f t="shared" si="1"/>
        <v>High</v>
      </c>
      <c r="H5" s="24" t="s">
        <v>83</v>
      </c>
    </row>
    <row r="6" spans="1:8" ht="42" customHeight="1" x14ac:dyDescent="0.35">
      <c r="A6" s="4" t="s">
        <v>84</v>
      </c>
      <c r="B6" s="6" t="s">
        <v>85</v>
      </c>
      <c r="C6" s="20" t="s">
        <v>86</v>
      </c>
      <c r="D6" s="21">
        <v>2</v>
      </c>
      <c r="E6" s="21">
        <v>4</v>
      </c>
      <c r="F6" s="22">
        <f t="shared" si="0"/>
        <v>8</v>
      </c>
      <c r="G6" s="23" t="str">
        <f t="shared" si="1"/>
        <v>Medium</v>
      </c>
      <c r="H6" s="24" t="s">
        <v>87</v>
      </c>
    </row>
    <row r="7" spans="1:8" ht="42" customHeight="1" x14ac:dyDescent="0.35">
      <c r="A7" s="4" t="s">
        <v>88</v>
      </c>
      <c r="B7" s="6" t="s">
        <v>85</v>
      </c>
      <c r="C7" s="20" t="s">
        <v>89</v>
      </c>
      <c r="D7" s="21">
        <v>3</v>
      </c>
      <c r="E7" s="21">
        <v>3</v>
      </c>
      <c r="F7" s="22">
        <f t="shared" si="0"/>
        <v>9</v>
      </c>
      <c r="G7" s="23" t="str">
        <f t="shared" si="1"/>
        <v>Medium</v>
      </c>
      <c r="H7" s="24" t="s">
        <v>90</v>
      </c>
    </row>
    <row r="8" spans="1:8" ht="42" customHeight="1" x14ac:dyDescent="0.35">
      <c r="A8" s="4" t="s">
        <v>91</v>
      </c>
      <c r="B8" s="6" t="s">
        <v>92</v>
      </c>
      <c r="C8" s="20" t="s">
        <v>93</v>
      </c>
      <c r="D8" s="21">
        <v>3</v>
      </c>
      <c r="E8" s="21">
        <v>4</v>
      </c>
      <c r="F8" s="22">
        <f t="shared" si="0"/>
        <v>12</v>
      </c>
      <c r="G8" s="23" t="str">
        <f t="shared" si="1"/>
        <v>High</v>
      </c>
      <c r="H8" s="24" t="s">
        <v>94</v>
      </c>
    </row>
    <row r="9" spans="1:8" ht="42" customHeight="1" x14ac:dyDescent="0.35">
      <c r="A9" s="4" t="s">
        <v>95</v>
      </c>
      <c r="B9" s="6" t="s">
        <v>92</v>
      </c>
      <c r="C9" s="20" t="s">
        <v>96</v>
      </c>
      <c r="D9" s="21">
        <v>2</v>
      </c>
      <c r="E9" s="21">
        <v>3</v>
      </c>
      <c r="F9" s="22">
        <f t="shared" si="0"/>
        <v>6</v>
      </c>
      <c r="G9" s="23" t="str">
        <f t="shared" si="1"/>
        <v>Medium</v>
      </c>
      <c r="H9" s="24" t="s">
        <v>97</v>
      </c>
    </row>
    <row r="10" spans="1:8" ht="42" customHeight="1" x14ac:dyDescent="0.35">
      <c r="A10" s="4" t="s">
        <v>98</v>
      </c>
      <c r="B10" s="6" t="s">
        <v>77</v>
      </c>
      <c r="C10" s="20" t="s">
        <v>99</v>
      </c>
      <c r="D10" s="21">
        <v>3</v>
      </c>
      <c r="E10" s="21">
        <v>2</v>
      </c>
      <c r="F10" s="22">
        <f t="shared" si="0"/>
        <v>6</v>
      </c>
      <c r="G10" s="23" t="str">
        <f t="shared" si="1"/>
        <v>Medium</v>
      </c>
      <c r="H10" s="24" t="s">
        <v>100</v>
      </c>
    </row>
    <row r="11" spans="1:8" ht="42" customHeight="1" x14ac:dyDescent="0.35">
      <c r="A11" s="4" t="s">
        <v>101</v>
      </c>
      <c r="B11" s="6" t="s">
        <v>81</v>
      </c>
      <c r="C11" s="20" t="s">
        <v>102</v>
      </c>
      <c r="D11" s="21">
        <v>2</v>
      </c>
      <c r="E11" s="21">
        <v>4</v>
      </c>
      <c r="F11" s="22">
        <f t="shared" si="0"/>
        <v>8</v>
      </c>
      <c r="G11" s="23" t="str">
        <f t="shared" si="1"/>
        <v>Medium</v>
      </c>
      <c r="H11" s="24" t="s">
        <v>103</v>
      </c>
    </row>
    <row r="12" spans="1:8" ht="42" customHeight="1" x14ac:dyDescent="0.35">
      <c r="A12" s="4" t="s">
        <v>104</v>
      </c>
      <c r="B12" s="6" t="s">
        <v>85</v>
      </c>
      <c r="C12" s="20" t="s">
        <v>105</v>
      </c>
      <c r="D12" s="21">
        <v>2</v>
      </c>
      <c r="E12" s="21">
        <v>3</v>
      </c>
      <c r="F12" s="22">
        <f t="shared" si="0"/>
        <v>6</v>
      </c>
      <c r="G12" s="23" t="str">
        <f t="shared" si="1"/>
        <v>Medium</v>
      </c>
      <c r="H12" s="24" t="s">
        <v>106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ROI Model</vt:lpstr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Thibaud Delaye</cp:lastModifiedBy>
  <cp:revision>0</cp:revision>
  <dcterms:created xsi:type="dcterms:W3CDTF">2026-06-19T07:59:02Z</dcterms:created>
  <dcterms:modified xsi:type="dcterms:W3CDTF">2026-06-19T08:38:55Z</dcterms:modified>
  <dc:language>en-US</dc:language>
</cp:coreProperties>
</file>